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OGA\Desktop\"/>
    </mc:Choice>
  </mc:AlternateContent>
  <bookViews>
    <workbookView windowWidth="20752" windowHeight="9555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<sst xmlns="http://schemas.openxmlformats.org/spreadsheetml/2006/main" count="83" uniqueCount="45">
  <si>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TO：周总
目的港POD：Manzanillo
品名Commodity： 机床
柜型 柜量Container：Break Bulk
Delivery address：Aguascaliente</t>
  </si>
  <si>
    <t>收费段
Charge Section</t>
  </si>
  <si>
    <t>收费明细
Charge Details</t>
  </si>
  <si>
    <t>Amount</t>
  </si>
  <si>
    <t>UNIT</t>
  </si>
  <si>
    <t>UNIT 
PRICE</t>
  </si>
  <si>
    <t>TOTAL 
PRICE</t>
  </si>
  <si>
    <t>CURRENCY</t>
  </si>
  <si>
    <t>Remark</t>
  </si>
  <si>
    <t>墨西哥段费用 Mexico Section  Cost</t>
  </si>
  <si>
    <t xml:space="preserve">预检费
Pre-inspection Fee </t>
  </si>
  <si>
    <t>车板</t>
  </si>
  <si>
    <t>USD</t>
  </si>
  <si>
    <t>按车计费，每车预检费350USD
The fee is calculated per truck</t>
  </si>
  <si>
    <t>船公司LOCAL
Shipping Line LOCAL</t>
  </si>
  <si>
    <t>票</t>
  </si>
  <si>
    <t>实报实销，提供船司发票
Actual cost, shipping line invoice to be provided</t>
  </si>
  <si>
    <t>换单费
Destination Handling fee</t>
  </si>
  <si>
    <t>按票计费
per bill</t>
  </si>
  <si>
    <t>码头费
Terminal Handling Fee</t>
  </si>
  <si>
    <t>计费重</t>
  </si>
  <si>
    <t>报价为预估，实报实销，提供码头发票
Actual cost, terminal invoice to be provided</t>
  </si>
  <si>
    <t>清关服务费
Customs Clearance Service Fee</t>
  </si>
  <si>
    <t>货值超过10万美金，清关费按千分之4.8计算
Customs clearance service fee. For cargo value exceeding USD 100,000, the fee is calculated at 0.48%.</t>
  </si>
  <si>
    <t>Prevalidación（报关单验证）</t>
  </si>
  <si>
    <t>MV Electronic Filing Fee/电子货值申报费</t>
  </si>
  <si>
    <t>如贵司委托我司申报则收取，贵司自己申报，则不收取。
Fee applies if we handle the declaration; no fee if you do it yourself.</t>
  </si>
  <si>
    <t>拖车费（Single）
Trucking Fee</t>
  </si>
  <si>
    <t>车</t>
  </si>
  <si>
    <t>1.90×1.35×1.25
5.20×2.50×0.07
5.20×2.50×0.70 
24吨重，78000比索+IVA，汇率17，折美元5322</t>
  </si>
  <si>
    <t>6.30×2.96×2.47
45.3吨重，170000比索+IVA，汇率17，含两辆引导车，折美元11600</t>
  </si>
  <si>
    <t>7.10×4.00×3.30
113吨重，380000比索+IVA，汇率17，含两辆引导车，折美元25929</t>
  </si>
  <si>
    <t>0.90×0.08×1.60
11.97×1.04×0.48
11.97×1.04×0.48
27吨重，84500比索+IVA，汇率17，折美元5765</t>
  </si>
  <si>
    <t>8.63×3.41×2.90
62吨重，188500比索+IVA，汇率17，含两辆引导车，折美元12862</t>
  </si>
  <si>
    <t>4.80×2.40×0.09
2.20×2.30×1.10
33.3吨重，91000比索+IVA，汇率17，折美元6209</t>
  </si>
  <si>
    <t>4.80×2.40×1.00
1.80×1.50×1.60
0.60×0.07×1.50
3.50×1.20×1.20
17.9吨重，71500比索+IVA，汇率17，折美元4878</t>
  </si>
  <si>
    <t>6.74×2.50×1.50
6.74×2.50×1.50
16吨重，71500比索+IVA，汇率17，折美元4878</t>
  </si>
  <si>
    <t>6.90×0.50×0.50
1.10×1.10×1.50
1.10×1.10×1.10
1.150×1.10×1.10
0.50×0.50×0.50
5.19吨重，71500比索+IVA，汇率17，折美元4878</t>
  </si>
  <si>
    <t>保险费
Inland Insurance fee</t>
  </si>
  <si>
    <t>墨西哥段内陆运输保险，保费货值的千分之四，含盗抢，赔付投保货值的80%。我司购买的保险是南美最大的物流保险公司JAH
Inland transportation insurance in Mexico, the premium is 0.4% of the value of the goods, including theft and robbery, and the compensation is 80% of the insured value. The insurance purchased by our company is from JAH, the largest logistics insurance company in South America.</t>
  </si>
  <si>
    <t>墨西哥段合计费用</t>
  </si>
  <si>
    <r>
      <rPr>
        <sz val="11"/>
        <color theme="1"/>
        <rFont val="微软雅黑"/>
        <charset val="134"/>
      </rPr>
      <t>REMARKS：
1、</t>
    </r>
    <r>
      <rPr>
        <b/>
        <sz val="11"/>
        <color theme="1"/>
        <rFont val="微软雅黑"/>
        <charset val="134"/>
      </rPr>
      <t>以上报价含墨西哥段增值税。
The above quotation includes VAT for the Mexico section.</t>
    </r>
    <r>
      <rPr>
        <sz val="11"/>
        <color theme="1"/>
        <rFont val="微软雅黑"/>
        <charset val="134"/>
      </rPr>
      <t xml:space="preserve">
2、以上报价不含进出口查验费、码头堆存费，超期费，海关费用，货物保险费，货物运输护送、空驶费、待时费、短驳费等额外费用。
The above quotation does not include import/export inspection fees, terminal storage fees, demurrage or detention charges, customs-related costs, cargo insurance, cargo escort services, dead mileage fees, waiting time charges, or any other additional expenses such as shuttle/trucking repositioning fees.
3.  拖车超重费：单拖： 货物重量超过 21 吨但小于 26 吨，4000 墨西哥比索/吨。
双拖： 每柜货物重量超过 20 吨但小于 23 吨，4000 墨西哥比索/吨。
Overweight trucking surcharge:
Single: If cargo weight exceeds 21 tons but is less than 26 tons, an extra charge of 4,000 MXN per ton.
Full: If cargo weight per container exceeds 20 tons but is less than 23 tons, an extra charge of 4,000 MXN per ton.
4、以上报价有效期60天
The above quotation is valid for 60 days</t>
    </r>
  </si>
  <si>
    <t>报价人</t>
  </si>
  <si>
    <t>Bill</t>
  </si>
  <si>
    <t>报价时间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</si>
</sst>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5" formatCode="&quot;￥&quot;#,##0;&quot;￥&quot;\-#,##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&quot;￥&quot;#,##0.00_);[Red]\(&quot;￥&quot;#,##0.00\)"/>
    <numFmt numFmtId="178" formatCode="[$$-80A]#,##0;\-[$$-80A]#,##0"/>
    <numFmt numFmtId="179" formatCode="\$#,##0;\-\$#,##0"/>
    <numFmt numFmtId="180" formatCode="0_ "/>
    <numFmt numFmtId="181" formatCode="yyyy/m/d;@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2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center" vertical="center" wrapText="1"/>
    </xf>
    <xf numFmtId="5" fontId="4" fillId="0" borderId="1" xfId="0" applyNumberFormat="1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/>
    </xf>
    <xf numFmtId="5" fontId="6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shrinkToFit="1"/>
    </xf>
    <xf numFmtId="5" fontId="6" fillId="0" borderId="1" xfId="0" applyNumberFormat="1" applyFont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6" xfId="2" applyNumberFormat="1" applyFont="1" applyFill="1" applyBorder="1" applyAlignment="1">
      <alignment horizontal="center" vertical="center" wrapText="1"/>
    </xf>
    <xf numFmtId="0" fontId="4" fillId="0" borderId="7" xfId="2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8" fontId="8" fillId="2" borderId="8" xfId="0" applyNumberFormat="1" applyFont="1" applyFill="1" applyBorder="1" applyAlignment="1">
      <alignment vertical="center"/>
    </xf>
    <xf numFmtId="178" fontId="8" fillId="2" borderId="6" xfId="0" applyNumberFormat="1" applyFont="1" applyFill="1" applyBorder="1" applyAlignment="1">
      <alignment vertical="center"/>
    </xf>
    <xf numFmtId="178" fontId="8" fillId="2" borderId="7" xfId="0" applyNumberFormat="1" applyFont="1" applyFill="1" applyBorder="1" applyAlignment="1">
      <alignment vertical="center"/>
    </xf>
    <xf numFmtId="179" fontId="9" fillId="2" borderId="1" xfId="0" applyNumberFormat="1" applyFont="1" applyFill="1" applyBorder="1" applyAlignment="1">
      <alignment horizontal="center" vertical="center" shrinkToFit="1"/>
    </xf>
    <xf numFmtId="179" fontId="10" fillId="2" borderId="1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80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货币 2" xfId="50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123190</xdr:colOff>
      <xdr:row>0</xdr:row>
      <xdr:rowOff>140335</xdr:rowOff>
    </xdr:from>
    <xdr:ext cx="3480435" cy="762000"/>
    <xdr:pic>
      <xdr:nvPicPr>
        <xdr:cNvPr id="2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190" y="140335"/>
          <a:ext cx="3480435" cy="762000"/>
        </a:xfrm>
        <a:prstGeom prst="rect">
          <a:avLst/>
        </a:prstGeom>
      </xdr:spPr>
    </xdr:pic>
    <xdr:clientData/>
  </xdr:oneCellAnchor>
  <xdr:oneCellAnchor>
    <xdr:from>
      <xdr:col>6</xdr:col>
      <xdr:colOff>175895</xdr:colOff>
      <xdr:row>22</xdr:row>
      <xdr:rowOff>2487930</xdr:rowOff>
    </xdr:from>
    <xdr:ext cx="1522095" cy="1285875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66715" y="19115405"/>
          <a:ext cx="1522095" cy="1285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6"/>
  <sheetViews>
    <sheetView tabSelected="1" workbookViewId="0">
      <selection activeCell="A1" sqref="A1:H1"/>
    </sheetView>
  </sheetViews>
  <sheetFormatPr defaultColWidth="8.84070796460177" defaultRowHeight="13.5"/>
  <cols>
    <col min="1" max="1" width="18.7345132743363" customWidth="1"/>
    <col min="2" max="2" width="18.1592920353982" customWidth="1"/>
    <col min="3" max="3" width="9.6283185840708" customWidth="1"/>
    <col min="4" max="4" width="9.89380530973451" customWidth="1"/>
    <col min="5" max="5" width="9.84070796460177" customWidth="1"/>
    <col min="6" max="6" width="7.47787610619469" customWidth="1"/>
    <col min="7" max="7" width="12.212389380531" customWidth="1"/>
    <col min="8" max="8" width="41.212389380531" customWidth="1"/>
  </cols>
  <sheetData>
    <row r="1" s="1" customFormat="1" ht="80" customHeight="1" spans="1:13">
      <c r="A1" s="2"/>
      <c r="B1" s="2"/>
      <c r="C1" s="2"/>
      <c r="D1" s="2"/>
      <c r="E1" s="2"/>
      <c r="F1" s="2"/>
      <c r="G1" s="2"/>
      <c r="H1" s="2"/>
    </row>
    <row r="2" s="1" customFormat="1" ht="84" customHeight="1" spans="1:13">
      <c r="A2" s="2" t="s">
        <v>0</v>
      </c>
      <c r="B2" s="2"/>
      <c r="C2" s="2"/>
      <c r="D2" s="2"/>
      <c r="E2" s="2"/>
      <c r="F2" s="2"/>
      <c r="G2" s="2"/>
      <c r="H2" s="2"/>
      <c r="L2" s="3"/>
      <c r="M2" s="4"/>
    </row>
    <row r="3" spans="1:1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</row>
    <row r="4" spans="1:13">
      <c r="A4" s="7"/>
      <c r="B4" s="7"/>
      <c r="C4" s="7"/>
      <c r="D4" s="7"/>
      <c r="E4" s="7"/>
      <c r="F4" s="7"/>
      <c r="G4" s="7"/>
      <c r="H4" s="8"/>
    </row>
    <row r="5" ht="38" customHeight="1" spans="1:13">
      <c r="A5" s="9" t="s">
        <v>9</v>
      </c>
      <c r="B5" s="10" t="s">
        <v>10</v>
      </c>
      <c r="C5" s="11">
        <v>9</v>
      </c>
      <c r="D5" s="11" t="s">
        <v>11</v>
      </c>
      <c r="E5" s="11">
        <v>350</v>
      </c>
      <c r="F5" s="11">
        <f>C5*E5</f>
        <v>3150</v>
      </c>
      <c r="G5" s="11" t="s">
        <v>12</v>
      </c>
      <c r="H5" s="12" t="s">
        <v>13</v>
      </c>
    </row>
    <row r="6" ht="39" customHeight="1" spans="1:13">
      <c r="A6" s="9"/>
      <c r="B6" s="13" t="s">
        <v>14</v>
      </c>
      <c r="C6" s="11">
        <v>1</v>
      </c>
      <c r="D6" s="11" t="s">
        <v>15</v>
      </c>
      <c r="E6" s="11">
        <v>200</v>
      </c>
      <c r="F6" s="11">
        <f t="shared" ref="F6:F14" si="0">C6*E6</f>
        <v>200</v>
      </c>
      <c r="G6" s="11" t="s">
        <v>12</v>
      </c>
      <c r="H6" s="12" t="s">
        <v>16</v>
      </c>
    </row>
    <row r="7" ht="46" customHeight="1" spans="1:13">
      <c r="A7" s="9"/>
      <c r="B7" s="13" t="s">
        <v>17</v>
      </c>
      <c r="C7" s="11">
        <v>1</v>
      </c>
      <c r="D7" s="11" t="s">
        <v>15</v>
      </c>
      <c r="E7" s="11">
        <v>200</v>
      </c>
      <c r="F7" s="11">
        <f t="shared" si="0"/>
        <v>200</v>
      </c>
      <c r="G7" s="11" t="s">
        <v>12</v>
      </c>
      <c r="H7" s="12" t="s">
        <v>18</v>
      </c>
    </row>
    <row r="8" ht="36" customHeight="1" spans="1:13">
      <c r="A8" s="9"/>
      <c r="B8" s="13" t="s">
        <v>19</v>
      </c>
      <c r="C8" s="11">
        <v>387</v>
      </c>
      <c r="D8" s="11" t="s">
        <v>20</v>
      </c>
      <c r="E8" s="11">
        <v>41</v>
      </c>
      <c r="F8" s="11">
        <f t="shared" si="0"/>
        <v>15867</v>
      </c>
      <c r="G8" s="11" t="s">
        <v>12</v>
      </c>
      <c r="H8" s="11" t="s">
        <v>21</v>
      </c>
    </row>
    <row r="9" ht="62" customHeight="1" spans="1:13">
      <c r="A9" s="9"/>
      <c r="B9" s="13" t="s">
        <v>22</v>
      </c>
      <c r="C9" s="11">
        <v>9</v>
      </c>
      <c r="D9" s="11" t="s">
        <v>11</v>
      </c>
      <c r="E9" s="11">
        <v>480</v>
      </c>
      <c r="F9" s="11">
        <f t="shared" si="0"/>
        <v>4320</v>
      </c>
      <c r="G9" s="11" t="s">
        <v>12</v>
      </c>
      <c r="H9" s="14" t="s">
        <v>23</v>
      </c>
    </row>
    <row r="10" s="1" customFormat="1" ht="29" customHeight="1" spans="1:13">
      <c r="A10" s="15"/>
      <c r="B10" s="16" t="s">
        <v>24</v>
      </c>
      <c r="C10" s="11">
        <v>9</v>
      </c>
      <c r="D10" s="11" t="s">
        <v>15</v>
      </c>
      <c r="E10" s="17">
        <v>20</v>
      </c>
      <c r="F10" s="11">
        <f t="shared" si="0"/>
        <v>180</v>
      </c>
      <c r="G10" s="11" t="s">
        <v>12</v>
      </c>
      <c r="H10" s="12" t="s">
        <v>18</v>
      </c>
    </row>
    <row r="11" s="1" customFormat="1" ht="55.5" spans="1:13">
      <c r="A11" s="15"/>
      <c r="B11" s="16" t="s">
        <v>25</v>
      </c>
      <c r="C11" s="11">
        <v>9</v>
      </c>
      <c r="D11" s="11" t="s">
        <v>15</v>
      </c>
      <c r="E11" s="17">
        <v>200</v>
      </c>
      <c r="F11" s="11">
        <f t="shared" si="0"/>
        <v>1800</v>
      </c>
      <c r="G11" s="11" t="s">
        <v>12</v>
      </c>
      <c r="H11" s="18" t="s">
        <v>26</v>
      </c>
    </row>
    <row r="12" ht="81" customHeight="1" spans="1:13">
      <c r="A12" s="9"/>
      <c r="B12" s="19" t="s">
        <v>27</v>
      </c>
      <c r="C12" s="11">
        <v>1</v>
      </c>
      <c r="D12" s="11" t="s">
        <v>28</v>
      </c>
      <c r="E12" s="11">
        <v>5322</v>
      </c>
      <c r="F12" s="11">
        <f>C12*E12</f>
        <v>5322</v>
      </c>
      <c r="G12" s="11" t="s">
        <v>12</v>
      </c>
      <c r="H12" s="11" t="s">
        <v>29</v>
      </c>
    </row>
    <row r="13" ht="81" customHeight="1" spans="1:13">
      <c r="A13" s="9"/>
      <c r="B13" s="19" t="s">
        <v>27</v>
      </c>
      <c r="C13" s="11">
        <v>1</v>
      </c>
      <c r="D13" s="11" t="s">
        <v>28</v>
      </c>
      <c r="E13" s="11">
        <v>11600</v>
      </c>
      <c r="F13" s="11">
        <f>C13*E13</f>
        <v>11600</v>
      </c>
      <c r="G13" s="11" t="s">
        <v>12</v>
      </c>
      <c r="H13" s="11" t="s">
        <v>30</v>
      </c>
    </row>
    <row r="14" ht="65" customHeight="1" spans="1:13">
      <c r="A14" s="9"/>
      <c r="B14" s="19" t="s">
        <v>27</v>
      </c>
      <c r="C14" s="11">
        <v>1</v>
      </c>
      <c r="D14" s="11" t="s">
        <v>28</v>
      </c>
      <c r="E14" s="11">
        <v>25929</v>
      </c>
      <c r="F14" s="11">
        <f>C14*E14</f>
        <v>25929</v>
      </c>
      <c r="G14" s="11" t="s">
        <v>12</v>
      </c>
      <c r="H14" s="11" t="s">
        <v>31</v>
      </c>
    </row>
    <row r="15" ht="82" customHeight="1" spans="1:13">
      <c r="A15" s="9"/>
      <c r="B15" s="19" t="s">
        <v>27</v>
      </c>
      <c r="C15" s="11">
        <v>1</v>
      </c>
      <c r="D15" s="11" t="s">
        <v>28</v>
      </c>
      <c r="E15" s="20">
        <v>5765</v>
      </c>
      <c r="F15" s="11">
        <f>C15*E15</f>
        <v>5765</v>
      </c>
      <c r="G15" s="11" t="s">
        <v>12</v>
      </c>
      <c r="H15" s="21" t="s">
        <v>32</v>
      </c>
    </row>
    <row r="16" ht="65" customHeight="1" spans="1:13">
      <c r="A16" s="9"/>
      <c r="B16" s="19" t="s">
        <v>27</v>
      </c>
      <c r="C16" s="11">
        <v>1</v>
      </c>
      <c r="D16" s="11" t="s">
        <v>28</v>
      </c>
      <c r="E16" s="20">
        <v>12862</v>
      </c>
      <c r="F16" s="11">
        <f>C16*E16</f>
        <v>12862</v>
      </c>
      <c r="G16" s="11" t="s">
        <v>12</v>
      </c>
      <c r="H16" s="21" t="s">
        <v>33</v>
      </c>
    </row>
    <row r="17" ht="65" customHeight="1" spans="1:8">
      <c r="A17" s="9"/>
      <c r="B17" s="19" t="s">
        <v>27</v>
      </c>
      <c r="C17" s="11">
        <v>1</v>
      </c>
      <c r="D17" s="11" t="s">
        <v>28</v>
      </c>
      <c r="E17" s="20">
        <v>6209</v>
      </c>
      <c r="F17" s="11">
        <f>C17*E17</f>
        <v>6209</v>
      </c>
      <c r="G17" s="11" t="s">
        <v>12</v>
      </c>
      <c r="H17" s="21" t="s">
        <v>34</v>
      </c>
    </row>
    <row r="18" ht="92" customHeight="1" spans="1:8">
      <c r="A18" s="9"/>
      <c r="B18" s="19" t="s">
        <v>27</v>
      </c>
      <c r="C18" s="11">
        <v>1</v>
      </c>
      <c r="D18" s="11" t="s">
        <v>28</v>
      </c>
      <c r="E18" s="20">
        <v>4878</v>
      </c>
      <c r="F18" s="11">
        <f>C18*E18</f>
        <v>4878</v>
      </c>
      <c r="G18" s="11" t="s">
        <v>12</v>
      </c>
      <c r="H18" s="21" t="s">
        <v>35</v>
      </c>
    </row>
    <row r="19" ht="65" customHeight="1" spans="1:8">
      <c r="A19" s="9"/>
      <c r="B19" s="19" t="s">
        <v>27</v>
      </c>
      <c r="C19" s="11">
        <v>1</v>
      </c>
      <c r="D19" s="11" t="s">
        <v>28</v>
      </c>
      <c r="E19" s="20">
        <v>4878</v>
      </c>
      <c r="F19" s="11">
        <f>C19*E19</f>
        <v>4878</v>
      </c>
      <c r="G19" s="11" t="s">
        <v>12</v>
      </c>
      <c r="H19" s="21" t="s">
        <v>36</v>
      </c>
    </row>
    <row r="20" ht="124" customHeight="1" spans="1:8">
      <c r="A20" s="9"/>
      <c r="B20" s="19" t="s">
        <v>27</v>
      </c>
      <c r="C20" s="11">
        <v>1</v>
      </c>
      <c r="D20" s="11" t="s">
        <v>28</v>
      </c>
      <c r="E20" s="20">
        <v>4878</v>
      </c>
      <c r="F20" s="11">
        <f>C20*E20</f>
        <v>4878</v>
      </c>
      <c r="G20" s="11" t="s">
        <v>12</v>
      </c>
      <c r="H20" s="21" t="s">
        <v>37</v>
      </c>
    </row>
    <row r="21" ht="77" customHeight="1" spans="1:8">
      <c r="A21" s="9"/>
      <c r="B21" s="16" t="s">
        <v>38</v>
      </c>
      <c r="C21" s="22" t="s">
        <v>39</v>
      </c>
      <c r="D21" s="22"/>
      <c r="E21" s="22"/>
      <c r="F21" s="22"/>
      <c r="G21" s="22"/>
      <c r="H21" s="23"/>
    </row>
    <row r="22" ht="15.75" spans="1:8">
      <c r="A22" s="24" t="s">
        <v>40</v>
      </c>
      <c r="B22" s="25"/>
      <c r="C22" s="26">
        <f>SUM(F5:F20)</f>
        <v>108038</v>
      </c>
      <c r="D22" s="27"/>
      <c r="E22" s="27"/>
      <c r="F22" s="28"/>
      <c r="G22" s="29" t="s">
        <v>12</v>
      </c>
      <c r="H22" s="30"/>
    </row>
    <row r="23" ht="240" customHeight="1" spans="1:8">
      <c r="A23" s="31" t="s">
        <v>41</v>
      </c>
      <c r="B23" s="31"/>
      <c r="C23" s="31"/>
      <c r="D23" s="31"/>
      <c r="E23" s="31"/>
      <c r="F23" s="31"/>
      <c r="G23" s="31"/>
      <c r="H23" s="31"/>
    </row>
    <row r="25" s="1" customFormat="1" ht="15" spans="1:8">
      <c r="B25" s="32"/>
      <c r="E25" s="33" t="s">
        <v>42</v>
      </c>
      <c r="F25" s="33"/>
      <c r="G25" s="34"/>
      <c r="H25" s="34" t="s">
        <v>43</v>
      </c>
    </row>
    <row r="26" s="1" customFormat="1" ht="15" spans="1:8">
      <c r="B26" s="32"/>
      <c r="E26" s="33" t="s">
        <v>44</v>
      </c>
      <c r="F26" s="33" t="s">
        <v>44</v>
      </c>
      <c r="G26" s="35"/>
      <c r="H26" s="35">
        <f ca="1">TODAY()</f>
        <v>46267</v>
      </c>
    </row>
  </sheetData>
  <mergeCells count="17">
    <mergeCell ref="A1:H1"/>
    <mergeCell ref="A2:H2"/>
    <mergeCell ref="C21:H21"/>
    <mergeCell ref="A22:B22"/>
    <mergeCell ref="C22:F22"/>
    <mergeCell ref="A23:H23"/>
    <mergeCell ref="E25:F25"/>
    <mergeCell ref="E26:F26"/>
    <mergeCell ref="A3:A4"/>
    <mergeCell ref="A5:A21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paperSize="1" scale="4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queena</dc:creator>
  <cp:lastModifiedBy>Bill</cp:lastModifiedBy>
  <dcterms:created xsi:type="dcterms:W3CDTF">2023-05-07T09:35:00Z</dcterms:created>
  <cp:lastPrinted>2025-03-12T01:32:00Z</cp:lastPrinted>
  <dcterms:modified xsi:type="dcterms:W3CDTF">2026-09-03T04:39:30Z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8913E83F3B4E46258E8E3952C66DFB2B_13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